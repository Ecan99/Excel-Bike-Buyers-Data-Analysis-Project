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a3f60cf6b0e51c0/Documents/Mpho Ecan Mokumo Data/Excel/"/>
    </mc:Choice>
  </mc:AlternateContent>
  <xr:revisionPtr revIDLastSave="0" documentId="8_{1B7F94EE-57C3-44EC-9BB3-B804FCC805B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<sst xmlns="http://schemas.openxmlformats.org/spreadsheetml/2006/main" count="16267" uniqueCount="51">
  <si>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</si>
  <si>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</si>
  <si>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</si>
  <si>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</si>
  <si>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</si>
  <si>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</si>
  <si>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</si>
  <si>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</si>
  <si>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</si>
  <si>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</si>
  <si>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</si>
  <si>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</si>
  <si>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</si>
  <si>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</si>
  <si>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</si>
  <si>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</si>
  <si>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</si>
  <si>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</si>
  <si>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</si>
  <si>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</si>
  <si>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</si>
  <si>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</si>
  <si>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</si>
  <si>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</si>
  <si>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</si>
  <si>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</si>
  <si>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</si>
  <si>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</si>
  <si>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</si>
  <si>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</si>
  <si>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</si>
  <si>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</si>
  <si>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</si>
  <si>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</si>
  <si>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</si>
  <si>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</si>
  <si>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</si>
  <si>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</si>
  <si>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</si>
  <si>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</si>
  <si>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Rank</t>
  </si>
  <si>
    <t>Row Labels</t>
  </si>
  <si>
    <t>Grand Total</t>
  </si>
  <si>
    <t>Average of Income</t>
  </si>
  <si>
    <t>Column Labels</t>
  </si>
  <si>
    <t>Count of Purchased Bike</t>
  </si>
  <si>
    <t>More than 10 Miles</t>
  </si>
  <si>
    <t>Mid Career</t>
  </si>
  <si>
    <t>Seniors</t>
  </si>
  <si>
    <t>Young Professionals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</si>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</sst>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7" formatCode="&quot;R&quot;#,##0"/>
    <numFmt numFmtId="169"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tint="-0.14999847407452621"/>
      <name val="Arial"/>
      <family val="2"/>
    </font>
    <font>
      <sz val="11"/>
      <color theme="0"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9"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xf numFmtId="169" fontId="0" fillId="0" borderId="0" xfId="0" pivotButton="1" applyNumberFormat="1"/>
    <xf numFmtId="169" fontId="0" fillId="0" borderId="0" xfId="0" applyNumberFormat="1"/>
    <xf numFmtId="169"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0">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9" formatCode="_-* #,##0_-;\-* #,##0_-;_-* &quot;-&quot;??_-;_-@_-"/>
    </dxf>
    <dxf>
      <numFmt numFmtId="168" formatCode="_-* #,##0.0_-;\-* #,##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171" formatCode="_-* #,##0.000_-;\-* #,##0.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Avg Income vs Bike Purchase</a:t>
            </a:r>
            <a:endParaRPr lang="en-ZA"/>
          </a:p>
        </c:rich>
      </c:tx>
      <c:layout>
        <c:manualLayout>
          <c:xMode val="edge"/>
          <c:yMode val="edge"/>
          <c:x val="0.26031233595800524"/>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35892388451443"/>
          <c:y val="0.13786818314377369"/>
          <c:w val="0.62897440944881888"/>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A8BB-46FE-99F1-CFDFC4CA10C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A8BB-46FE-99F1-CFDFC4CA10CC}"/>
            </c:ext>
          </c:extLst>
        </c:ser>
        <c:dLbls>
          <c:showLegendKey val="0"/>
          <c:showVal val="0"/>
          <c:showCatName val="0"/>
          <c:showSerName val="0"/>
          <c:showPercent val="0"/>
          <c:showBubbleSize val="0"/>
        </c:dLbls>
        <c:gapWidth val="219"/>
        <c:overlap val="-27"/>
        <c:axId val="1602866240"/>
        <c:axId val="2083994784"/>
      </c:barChart>
      <c:catAx>
        <c:axId val="1602866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994784"/>
        <c:crosses val="autoZero"/>
        <c:auto val="1"/>
        <c:lblAlgn val="ctr"/>
        <c:lblOffset val="100"/>
        <c:noMultiLvlLbl val="0"/>
      </c:catAx>
      <c:valAx>
        <c:axId val="208399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86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E03-455A-B480-624CDF90A799}"/>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E03-455A-B480-624CDF90A799}"/>
            </c:ext>
          </c:extLst>
        </c:ser>
        <c:dLbls>
          <c:showLegendKey val="0"/>
          <c:showVal val="0"/>
          <c:showCatName val="0"/>
          <c:showSerName val="0"/>
          <c:showPercent val="0"/>
          <c:showBubbleSize val="0"/>
        </c:dLbls>
        <c:smooth val="0"/>
        <c:axId val="169801840"/>
        <c:axId val="169795120"/>
      </c:lineChart>
      <c:catAx>
        <c:axId val="16980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Commure Distance</a:t>
                </a:r>
              </a:p>
            </c:rich>
          </c:tx>
          <c:layout>
            <c:manualLayout>
              <c:xMode val="edge"/>
              <c:yMode val="edge"/>
              <c:x val="0.34446391076115485"/>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5120"/>
        <c:crosses val="autoZero"/>
        <c:auto val="1"/>
        <c:lblAlgn val="ctr"/>
        <c:lblOffset val="100"/>
        <c:noMultiLvlLbl val="0"/>
      </c:catAx>
      <c:valAx>
        <c:axId val="16979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table!PivotTable3</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ZA"/>
              <a:t>Customer AGE RANK</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table'!$A$45:$A$48</c:f>
              <c:strCache>
                <c:ptCount val="3"/>
                <c:pt idx="0">
                  <c:v>Mid Career</c:v>
                </c:pt>
                <c:pt idx="1">
                  <c:v>Seniors</c:v>
                </c:pt>
                <c:pt idx="2">
                  <c:v>Young Professionals</c:v>
                </c:pt>
              </c:strCache>
            </c:strRef>
          </c:cat>
          <c:val>
            <c:numRef>
              <c:f>'Pivot table'!$B$45:$B$48</c:f>
              <c:numCache>
                <c:formatCode>General</c:formatCode>
                <c:ptCount val="3"/>
                <c:pt idx="0">
                  <c:v>200</c:v>
                </c:pt>
                <c:pt idx="1">
                  <c:v>178</c:v>
                </c:pt>
                <c:pt idx="2">
                  <c:v>141</c:v>
                </c:pt>
              </c:numCache>
            </c:numRef>
          </c:val>
          <c:smooth val="0"/>
          <c:extLst>
            <c:ext xmlns:c16="http://schemas.microsoft.com/office/drawing/2014/chart" uri="{C3380CC4-5D6E-409C-BE32-E72D297353CC}">
              <c16:uniqueId val="{00000000-B269-473A-A230-44FBF68E33AB}"/>
            </c:ext>
          </c:extLst>
        </c:ser>
        <c:ser>
          <c:idx val="1"/>
          <c:order val="1"/>
          <c:tx>
            <c:strRef>
              <c:f>'Pivot table'!$C$43:$C$44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table'!$A$45:$A$48</c:f>
              <c:strCache>
                <c:ptCount val="3"/>
                <c:pt idx="0">
                  <c:v>Mid Career</c:v>
                </c:pt>
                <c:pt idx="1">
                  <c:v>Seniors</c:v>
                </c:pt>
                <c:pt idx="2">
                  <c:v>Young Professionals</c:v>
                </c:pt>
              </c:strCache>
            </c:strRef>
          </c:cat>
          <c:val>
            <c:numRef>
              <c:f>'Pivot table'!$C$45:$C$48</c:f>
              <c:numCache>
                <c:formatCode>General</c:formatCode>
                <c:ptCount val="3"/>
                <c:pt idx="0">
                  <c:v>244</c:v>
                </c:pt>
                <c:pt idx="1">
                  <c:v>122</c:v>
                </c:pt>
                <c:pt idx="2">
                  <c:v>115</c:v>
                </c:pt>
              </c:numCache>
            </c:numRef>
          </c:val>
          <c:smooth val="0"/>
          <c:extLst>
            <c:ext xmlns:c16="http://schemas.microsoft.com/office/drawing/2014/chart" uri="{C3380CC4-5D6E-409C-BE32-E72D297353CC}">
              <c16:uniqueId val="{00000001-B269-473A-A230-44FBF68E33AB}"/>
            </c:ext>
          </c:extLst>
        </c:ser>
        <c:dLbls>
          <c:showLegendKey val="0"/>
          <c:showVal val="0"/>
          <c:showCatName val="0"/>
          <c:showSerName val="0"/>
          <c:showPercent val="0"/>
          <c:showBubbleSize val="0"/>
        </c:dLbls>
        <c:marker val="1"/>
        <c:smooth val="0"/>
        <c:axId val="2099294816"/>
        <c:axId val="2099295296"/>
      </c:lineChart>
      <c:catAx>
        <c:axId val="2099294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Age</a:t>
                </a:r>
                <a:r>
                  <a:rPr lang="en-ZA" baseline="0"/>
                  <a:t> rank</a:t>
                </a:r>
                <a:endParaRPr lang="en-ZA"/>
              </a:p>
            </c:rich>
          </c:tx>
          <c:layout>
            <c:manualLayout>
              <c:xMode val="edge"/>
              <c:yMode val="edge"/>
              <c:x val="0.41730587427588767"/>
              <c:y val="0.8012623440037588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9295296"/>
        <c:crosses val="autoZero"/>
        <c:auto val="1"/>
        <c:lblAlgn val="ctr"/>
        <c:lblOffset val="100"/>
        <c:noMultiLvlLbl val="0"/>
      </c:catAx>
      <c:valAx>
        <c:axId val="20992952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9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Avg Income vs Bike Purchase</a:t>
            </a:r>
            <a:endParaRPr lang="en-ZA"/>
          </a:p>
        </c:rich>
      </c:tx>
      <c:layout>
        <c:manualLayout>
          <c:xMode val="edge"/>
          <c:yMode val="edge"/>
          <c:x val="0.26031233595800524"/>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35892388451443"/>
          <c:y val="0.13786818314377369"/>
          <c:w val="0.62897440944881888"/>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4602-426F-A80A-130424941F7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4602-426F-A80A-130424941F7B}"/>
            </c:ext>
          </c:extLst>
        </c:ser>
        <c:dLbls>
          <c:showLegendKey val="0"/>
          <c:showVal val="0"/>
          <c:showCatName val="0"/>
          <c:showSerName val="0"/>
          <c:showPercent val="0"/>
          <c:showBubbleSize val="0"/>
        </c:dLbls>
        <c:gapWidth val="219"/>
        <c:overlap val="-27"/>
        <c:axId val="1602866240"/>
        <c:axId val="2083994784"/>
      </c:barChart>
      <c:catAx>
        <c:axId val="1602866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994784"/>
        <c:crosses val="autoZero"/>
        <c:auto val="1"/>
        <c:lblAlgn val="ctr"/>
        <c:lblOffset val="100"/>
        <c:noMultiLvlLbl val="0"/>
      </c:catAx>
      <c:valAx>
        <c:axId val="208399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86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252-429C-9B1E-8FA08A534A7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252-429C-9B1E-8FA08A534A77}"/>
            </c:ext>
          </c:extLst>
        </c:ser>
        <c:dLbls>
          <c:showLegendKey val="0"/>
          <c:showVal val="0"/>
          <c:showCatName val="0"/>
          <c:showSerName val="0"/>
          <c:showPercent val="0"/>
          <c:showBubbleSize val="0"/>
        </c:dLbls>
        <c:smooth val="0"/>
        <c:axId val="169801840"/>
        <c:axId val="169795120"/>
      </c:lineChart>
      <c:catAx>
        <c:axId val="16980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Commure Distance</a:t>
                </a:r>
              </a:p>
            </c:rich>
          </c:tx>
          <c:layout>
            <c:manualLayout>
              <c:xMode val="edge"/>
              <c:yMode val="edge"/>
              <c:x val="0.34446391076115485"/>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5120"/>
        <c:crosses val="autoZero"/>
        <c:auto val="1"/>
        <c:lblAlgn val="ctr"/>
        <c:lblOffset val="100"/>
        <c:noMultiLvlLbl val="0"/>
      </c:catAx>
      <c:valAx>
        <c:axId val="16979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Dataset1.xlsx]Pivot table!PivotTable3</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ZA"/>
              <a:t>Customer AGE RANK</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table'!$A$45:$A$48</c:f>
              <c:strCache>
                <c:ptCount val="3"/>
                <c:pt idx="0">
                  <c:v>Mid Career</c:v>
                </c:pt>
                <c:pt idx="1">
                  <c:v>Seniors</c:v>
                </c:pt>
                <c:pt idx="2">
                  <c:v>Young Professionals</c:v>
                </c:pt>
              </c:strCache>
            </c:strRef>
          </c:cat>
          <c:val>
            <c:numRef>
              <c:f>'Pivot table'!$B$45:$B$48</c:f>
              <c:numCache>
                <c:formatCode>General</c:formatCode>
                <c:ptCount val="3"/>
                <c:pt idx="0">
                  <c:v>200</c:v>
                </c:pt>
                <c:pt idx="1">
                  <c:v>178</c:v>
                </c:pt>
                <c:pt idx="2">
                  <c:v>141</c:v>
                </c:pt>
              </c:numCache>
            </c:numRef>
          </c:val>
          <c:smooth val="0"/>
          <c:extLst>
            <c:ext xmlns:c16="http://schemas.microsoft.com/office/drawing/2014/chart" uri="{C3380CC4-5D6E-409C-BE32-E72D297353CC}">
              <c16:uniqueId val="{00000000-832B-43B4-9E8A-6B8FB77CEF94}"/>
            </c:ext>
          </c:extLst>
        </c:ser>
        <c:ser>
          <c:idx val="1"/>
          <c:order val="1"/>
          <c:tx>
            <c:strRef>
              <c:f>'Pivot table'!$C$43:$C$44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table'!$A$45:$A$48</c:f>
              <c:strCache>
                <c:ptCount val="3"/>
                <c:pt idx="0">
                  <c:v>Mid Career</c:v>
                </c:pt>
                <c:pt idx="1">
                  <c:v>Seniors</c:v>
                </c:pt>
                <c:pt idx="2">
                  <c:v>Young Professionals</c:v>
                </c:pt>
              </c:strCache>
            </c:strRef>
          </c:cat>
          <c:val>
            <c:numRef>
              <c:f>'Pivot table'!$C$45:$C$48</c:f>
              <c:numCache>
                <c:formatCode>General</c:formatCode>
                <c:ptCount val="3"/>
                <c:pt idx="0">
                  <c:v>244</c:v>
                </c:pt>
                <c:pt idx="1">
                  <c:v>122</c:v>
                </c:pt>
                <c:pt idx="2">
                  <c:v>115</c:v>
                </c:pt>
              </c:numCache>
            </c:numRef>
          </c:val>
          <c:smooth val="0"/>
          <c:extLst>
            <c:ext xmlns:c16="http://schemas.microsoft.com/office/drawing/2014/chart" uri="{C3380CC4-5D6E-409C-BE32-E72D297353CC}">
              <c16:uniqueId val="{00000001-832B-43B4-9E8A-6B8FB77CEF94}"/>
            </c:ext>
          </c:extLst>
        </c:ser>
        <c:dLbls>
          <c:showLegendKey val="0"/>
          <c:showVal val="0"/>
          <c:showCatName val="0"/>
          <c:showSerName val="0"/>
          <c:showPercent val="0"/>
          <c:showBubbleSize val="0"/>
        </c:dLbls>
        <c:marker val="1"/>
        <c:smooth val="0"/>
        <c:axId val="2099294816"/>
        <c:axId val="2099295296"/>
      </c:lineChart>
      <c:catAx>
        <c:axId val="2099294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Age</a:t>
                </a:r>
                <a:r>
                  <a:rPr lang="en-ZA" baseline="0"/>
                  <a:t> rank</a:t>
                </a:r>
                <a:endParaRPr lang="en-ZA"/>
              </a:p>
            </c:rich>
          </c:tx>
          <c:layout>
            <c:manualLayout>
              <c:xMode val="edge"/>
              <c:yMode val="edge"/>
              <c:x val="0.41730587427588767"/>
              <c:y val="0.8012623440037588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9295296"/>
        <c:crosses val="autoZero"/>
        <c:auto val="1"/>
        <c:lblAlgn val="ctr"/>
        <c:lblOffset val="100"/>
        <c:noMultiLvlLbl val="0"/>
      </c:catAx>
      <c:valAx>
        <c:axId val="20992952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9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22860</xdr:colOff>
      <xdr:row>1</xdr:row>
      <xdr:rowOff>80010</xdr:rowOff>
    </xdr:from>
    <xdr:to>
      <xdr:col>13</xdr:col>
      <xdr:colOff>327660</xdr:colOff>
      <xdr:row>16</xdr:row>
      <xdr:rowOff>80010</xdr:rowOff>
    </xdr:to>
    <xdr:graphicFrame macro="">
      <xdr:nvGraphicFramePr>
        <xdr:cNvPr id="2" name="Chart 1">
          <a:extLst>
            <a:ext uri="{FF2B5EF4-FFF2-40B4-BE49-F238E27FC236}">
              <a16:creationId xmlns:a16="http://schemas.microsoft.com/office/drawing/2014/main" id="{03152DA7-DEDD-162C-DA24-F17FAE900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21</xdr:row>
      <xdr:rowOff>19050</xdr:rowOff>
    </xdr:from>
    <xdr:to>
      <xdr:col>13</xdr:col>
      <xdr:colOff>411480</xdr:colOff>
      <xdr:row>36</xdr:row>
      <xdr:rowOff>19050</xdr:rowOff>
    </xdr:to>
    <xdr:graphicFrame macro="">
      <xdr:nvGraphicFramePr>
        <xdr:cNvPr id="3" name="Chart 2">
          <a:extLst>
            <a:ext uri="{FF2B5EF4-FFF2-40B4-BE49-F238E27FC236}">
              <a16:creationId xmlns:a16="http://schemas.microsoft.com/office/drawing/2014/main" id="{9F4A4372-F9C2-DD17-569B-DFC0C8891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510540</xdr:colOff>
      <xdr:row>38</xdr:row>
      <xdr:rowOff>19050</xdr:rowOff>
    </xdr:from>
    <xdr:to>
      <xdr:col>13</xdr:col>
      <xdr:colOff>205740</xdr:colOff>
      <xdr:row>53</xdr:row>
      <xdr:rowOff>19050</xdr:rowOff>
    </xdr:to>
    <xdr:graphicFrame macro="">
      <xdr:nvGraphicFramePr>
        <xdr:cNvPr id="4" name="Chart 3">
          <a:extLst>
            <a:ext uri="{FF2B5EF4-FFF2-40B4-BE49-F238E27FC236}">
              <a16:creationId xmlns:a16="http://schemas.microsoft.com/office/drawing/2014/main" id="{1E5B3F52-76ED-062F-CE57-CC093E207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440678</xdr:colOff>
      <xdr:row>4</xdr:row>
      <xdr:rowOff>18362</xdr:rowOff>
    </xdr:from>
    <xdr:to>
      <xdr:col>8</xdr:col>
      <xdr:colOff>560025</xdr:colOff>
      <xdr:row>16</xdr:row>
      <xdr:rowOff>84527</xdr:rowOff>
    </xdr:to>
    <xdr:graphicFrame macro="">
      <xdr:nvGraphicFramePr>
        <xdr:cNvPr id="2" name="Chart 1">
          <a:extLst>
            <a:ext uri="{FF2B5EF4-FFF2-40B4-BE49-F238E27FC236}">
              <a16:creationId xmlns:a16="http://schemas.microsoft.com/office/drawing/2014/main" id="{2C215984-B94B-410C-A214-F45F53FA7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440675</xdr:colOff>
      <xdr:row>16</xdr:row>
      <xdr:rowOff>91807</xdr:rowOff>
    </xdr:from>
    <xdr:to>
      <xdr:col>15</xdr:col>
      <xdr:colOff>0</xdr:colOff>
      <xdr:row>29</xdr:row>
      <xdr:rowOff>165252</xdr:rowOff>
    </xdr:to>
    <xdr:graphicFrame macro="">
      <xdr:nvGraphicFramePr>
        <xdr:cNvPr id="3" name="Chart 2">
          <a:extLst>
            <a:ext uri="{FF2B5EF4-FFF2-40B4-BE49-F238E27FC236}">
              <a16:creationId xmlns:a16="http://schemas.microsoft.com/office/drawing/2014/main" id="{588B9947-2432-4C15-8ED9-781F6DBA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560024</xdr:colOff>
      <xdr:row>4</xdr:row>
      <xdr:rowOff>27542</xdr:rowOff>
    </xdr:from>
    <xdr:to>
      <xdr:col>14</xdr:col>
      <xdr:colOff>596747</xdr:colOff>
      <xdr:row>16</xdr:row>
      <xdr:rowOff>82627</xdr:rowOff>
    </xdr:to>
    <xdr:graphicFrame macro="">
      <xdr:nvGraphicFramePr>
        <xdr:cNvPr id="4" name="Chart 3">
          <a:extLst>
            <a:ext uri="{FF2B5EF4-FFF2-40B4-BE49-F238E27FC236}">
              <a16:creationId xmlns:a16="http://schemas.microsoft.com/office/drawing/2014/main" id="{69A0F277-B73D-447F-8334-1FCFA3171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22308</xdr:colOff>
      <xdr:row>4</xdr:row>
      <xdr:rowOff>21758</xdr:rowOff>
    </xdr:from>
    <xdr:to>
      <xdr:col>2</xdr:col>
      <xdr:colOff>422314</xdr:colOff>
      <xdr:row>8</xdr:row>
      <xdr:rowOff>146891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3BE2290-F165-6279-4A65-F299BC3B2C9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308" y="765173"/>
              <a:ext cx="1626640" cy="8685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25798</xdr:rowOff>
    </xdr:from>
    <xdr:to>
      <xdr:col>2</xdr:col>
      <xdr:colOff>440675</xdr:colOff>
      <xdr:row>24</xdr:row>
      <xdr:rowOff>9181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CDCD952-2BA4-D100-0526-6DB241E41F0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813603"/>
              <a:ext cx="1667309" cy="16560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919</xdr:rowOff>
    </xdr:from>
    <xdr:to>
      <xdr:col>2</xdr:col>
      <xdr:colOff>431494</xdr:colOff>
      <xdr:row>14</xdr:row>
      <xdr:rowOff>174434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3A37AB2-4195-C1E0-35D6-C194FE637F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73602"/>
              <a:ext cx="1658128" cy="11027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PHO ECAN MOKUMO" refreshedDate="46064.432850578705" createdVersion="8" refreshedVersion="8" minRefreshableVersion="3" recordCount="1000" xr:uid="{64D4DC6D-5C52-4CD4-B1FF-FA16A03B0CE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k" numFmtId="0">
      <sharedItems count="3">
        <s v="Mid Career"/>
        <s v="Seniors"/>
        <s v="Young Professionals"/>
      </sharedItems>
    </cacheField>
    <cacheField name="Purchased Bike" numFmtId="0">
      <sharedItems count="2">
        <s v="No"/>
        <s v="Yes"/>
      </sharedItems>
    </cacheField>
  </cacheFields>
  <extLst>
    <ext xmlns:x14="http://schemas.microsoft.com/office/spreadsheetml/2009/9/main" uri="{725AE2AE-9491-48be-B2B4-4EB974FC3084}">
      <x14:pivotCacheDefinition pivotCacheId="1338377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2"/>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2"/>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2"/>
    <x v="1"/>
  </r>
  <r>
    <n v="25940"/>
    <x v="1"/>
    <x v="1"/>
    <n v="20000"/>
    <n v="2"/>
    <x v="3"/>
    <s v="Clerical"/>
    <s v="Yes"/>
    <n v="2"/>
    <x v="2"/>
    <x v="1"/>
    <n v="55"/>
    <x v="1"/>
    <x v="1"/>
  </r>
  <r>
    <n v="25598"/>
    <x v="0"/>
    <x v="0"/>
    <n v="40000"/>
    <n v="0"/>
    <x v="4"/>
    <s v="Clerical"/>
    <s v="Yes"/>
    <n v="0"/>
    <x v="0"/>
    <x v="0"/>
    <n v="36"/>
    <x v="0"/>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1"/>
    <x v="0"/>
  </r>
  <r>
    <n v="27184"/>
    <x v="1"/>
    <x v="1"/>
    <n v="40000"/>
    <n v="2"/>
    <x v="1"/>
    <s v="Clerical"/>
    <s v="No"/>
    <n v="1"/>
    <x v="0"/>
    <x v="0"/>
    <n v="34"/>
    <x v="2"/>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2"/>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2"/>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2"/>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2"/>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2"/>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2"/>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2"/>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2"/>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2"/>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2"/>
    <x v="0"/>
  </r>
  <r>
    <n v="20877"/>
    <x v="1"/>
    <x v="1"/>
    <n v="30000"/>
    <n v="1"/>
    <x v="0"/>
    <s v="Clerical"/>
    <s v="Yes"/>
    <n v="0"/>
    <x v="3"/>
    <x v="0"/>
    <n v="37"/>
    <x v="0"/>
    <x v="1"/>
  </r>
  <r>
    <n v="20729"/>
    <x v="0"/>
    <x v="0"/>
    <n v="40000"/>
    <n v="2"/>
    <x v="1"/>
    <s v="Clerical"/>
    <s v="No"/>
    <n v="1"/>
    <x v="0"/>
    <x v="0"/>
    <n v="34"/>
    <x v="2"/>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2"/>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2"/>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2"/>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2"/>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2"/>
    <x v="1"/>
  </r>
  <r>
    <n v="24584"/>
    <x v="1"/>
    <x v="1"/>
    <n v="60000"/>
    <n v="0"/>
    <x v="0"/>
    <s v="Professional"/>
    <s v="No"/>
    <n v="3"/>
    <x v="1"/>
    <x v="1"/>
    <n v="31"/>
    <x v="2"/>
    <x v="0"/>
  </r>
  <r>
    <n v="12585"/>
    <x v="0"/>
    <x v="1"/>
    <n v="10000"/>
    <n v="1"/>
    <x v="2"/>
    <s v="Manual"/>
    <s v="Yes"/>
    <n v="0"/>
    <x v="1"/>
    <x v="1"/>
    <n v="27"/>
    <x v="2"/>
    <x v="1"/>
  </r>
  <r>
    <n v="18626"/>
    <x v="1"/>
    <x v="1"/>
    <n v="40000"/>
    <n v="2"/>
    <x v="1"/>
    <s v="Clerical"/>
    <s v="Yes"/>
    <n v="0"/>
    <x v="3"/>
    <x v="0"/>
    <n v="33"/>
    <x v="2"/>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2"/>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2"/>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2"/>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2"/>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2"/>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2"/>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2"/>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2"/>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2"/>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2"/>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2"/>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2"/>
    <x v="0"/>
  </r>
  <r>
    <n v="19508"/>
    <x v="0"/>
    <x v="1"/>
    <n v="10000"/>
    <n v="0"/>
    <x v="3"/>
    <s v="Manual"/>
    <s v="No"/>
    <n v="2"/>
    <x v="0"/>
    <x v="0"/>
    <n v="30"/>
    <x v="2"/>
    <x v="0"/>
  </r>
  <r>
    <n v="11489"/>
    <x v="1"/>
    <x v="0"/>
    <n v="20000"/>
    <n v="0"/>
    <x v="3"/>
    <s v="Manual"/>
    <s v="No"/>
    <n v="2"/>
    <x v="3"/>
    <x v="0"/>
    <n v="35"/>
    <x v="2"/>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2"/>
    <x v="0"/>
  </r>
  <r>
    <n v="29424"/>
    <x v="0"/>
    <x v="1"/>
    <n v="10000"/>
    <n v="0"/>
    <x v="3"/>
    <s v="Manual"/>
    <s v="Yes"/>
    <n v="2"/>
    <x v="0"/>
    <x v="0"/>
    <n v="32"/>
    <x v="2"/>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2"/>
    <x v="0"/>
  </r>
  <r>
    <n v="19174"/>
    <x v="1"/>
    <x v="0"/>
    <n v="30000"/>
    <n v="0"/>
    <x v="2"/>
    <s v="Manual"/>
    <s v="No"/>
    <n v="1"/>
    <x v="1"/>
    <x v="0"/>
    <n v="32"/>
    <x v="2"/>
    <x v="1"/>
  </r>
  <r>
    <n v="19183"/>
    <x v="1"/>
    <x v="1"/>
    <n v="10000"/>
    <n v="0"/>
    <x v="3"/>
    <s v="Manual"/>
    <s v="Yes"/>
    <n v="2"/>
    <x v="3"/>
    <x v="0"/>
    <n v="35"/>
    <x v="2"/>
    <x v="0"/>
  </r>
  <r>
    <n v="13683"/>
    <x v="1"/>
    <x v="0"/>
    <n v="30000"/>
    <n v="0"/>
    <x v="2"/>
    <s v="Manual"/>
    <s v="No"/>
    <n v="1"/>
    <x v="1"/>
    <x v="0"/>
    <n v="32"/>
    <x v="2"/>
    <x v="0"/>
  </r>
  <r>
    <n v="17848"/>
    <x v="1"/>
    <x v="1"/>
    <n v="30000"/>
    <n v="0"/>
    <x v="1"/>
    <s v="Clerical"/>
    <s v="No"/>
    <n v="1"/>
    <x v="1"/>
    <x v="0"/>
    <n v="31"/>
    <x v="2"/>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2"/>
    <x v="0"/>
  </r>
  <r>
    <n v="23608"/>
    <x v="0"/>
    <x v="0"/>
    <n v="150000"/>
    <n v="3"/>
    <x v="2"/>
    <s v="Professional"/>
    <s v="Yes"/>
    <n v="3"/>
    <x v="0"/>
    <x v="0"/>
    <n v="51"/>
    <x v="1"/>
    <x v="1"/>
  </r>
  <r>
    <n v="22538"/>
    <x v="1"/>
    <x v="0"/>
    <n v="10000"/>
    <n v="0"/>
    <x v="3"/>
    <s v="Manual"/>
    <s v="Yes"/>
    <n v="2"/>
    <x v="3"/>
    <x v="0"/>
    <n v="33"/>
    <x v="2"/>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2"/>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2"/>
    <x v="1"/>
  </r>
  <r>
    <n v="13690"/>
    <x v="1"/>
    <x v="0"/>
    <n v="20000"/>
    <n v="0"/>
    <x v="3"/>
    <s v="Manual"/>
    <s v="No"/>
    <n v="2"/>
    <x v="3"/>
    <x v="0"/>
    <n v="34"/>
    <x v="2"/>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2"/>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2"/>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2"/>
    <x v="0"/>
  </r>
  <r>
    <n v="25266"/>
    <x v="1"/>
    <x v="0"/>
    <n v="30000"/>
    <n v="2"/>
    <x v="1"/>
    <s v="Clerical"/>
    <s v="No"/>
    <n v="2"/>
    <x v="2"/>
    <x v="1"/>
    <n v="67"/>
    <x v="1"/>
    <x v="0"/>
  </r>
  <r>
    <n v="17960"/>
    <x v="0"/>
    <x v="0"/>
    <n v="40000"/>
    <n v="0"/>
    <x v="4"/>
    <s v="Clerical"/>
    <s v="Yes"/>
    <n v="0"/>
    <x v="0"/>
    <x v="0"/>
    <n v="35"/>
    <x v="2"/>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2"/>
    <x v="1"/>
  </r>
  <r>
    <n v="27169"/>
    <x v="1"/>
    <x v="1"/>
    <n v="30000"/>
    <n v="0"/>
    <x v="2"/>
    <s v="Manual"/>
    <s v="Yes"/>
    <n v="1"/>
    <x v="1"/>
    <x v="0"/>
    <n v="34"/>
    <x v="2"/>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2"/>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2"/>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2"/>
    <x v="0"/>
  </r>
  <r>
    <n v="25307"/>
    <x v="0"/>
    <x v="0"/>
    <n v="40000"/>
    <n v="1"/>
    <x v="0"/>
    <s v="Skilled Manual"/>
    <s v="Yes"/>
    <n v="1"/>
    <x v="3"/>
    <x v="0"/>
    <n v="32"/>
    <x v="2"/>
    <x v="1"/>
  </r>
  <r>
    <n v="14278"/>
    <x v="0"/>
    <x v="0"/>
    <n v="130000"/>
    <n v="0"/>
    <x v="4"/>
    <s v="Management"/>
    <s v="Yes"/>
    <n v="1"/>
    <x v="4"/>
    <x v="1"/>
    <n v="48"/>
    <x v="0"/>
    <x v="0"/>
  </r>
  <r>
    <n v="20711"/>
    <x v="0"/>
    <x v="0"/>
    <n v="40000"/>
    <n v="1"/>
    <x v="0"/>
    <s v="Skilled Manual"/>
    <s v="Yes"/>
    <n v="0"/>
    <x v="3"/>
    <x v="0"/>
    <n v="32"/>
    <x v="2"/>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2"/>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2"/>
    <x v="1"/>
  </r>
  <r>
    <n v="21554"/>
    <x v="1"/>
    <x v="0"/>
    <n v="80000"/>
    <n v="0"/>
    <x v="0"/>
    <s v="Professional"/>
    <s v="No"/>
    <n v="3"/>
    <x v="4"/>
    <x v="1"/>
    <n v="33"/>
    <x v="2"/>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2"/>
    <x v="1"/>
  </r>
  <r>
    <n v="26984"/>
    <x v="0"/>
    <x v="1"/>
    <n v="40000"/>
    <n v="1"/>
    <x v="0"/>
    <s v="Skilled Manual"/>
    <s v="Yes"/>
    <n v="1"/>
    <x v="0"/>
    <x v="0"/>
    <n v="32"/>
    <x v="2"/>
    <x v="1"/>
  </r>
  <r>
    <n v="18294"/>
    <x v="0"/>
    <x v="0"/>
    <n v="90000"/>
    <n v="1"/>
    <x v="0"/>
    <s v="Professional"/>
    <s v="Yes"/>
    <n v="1"/>
    <x v="2"/>
    <x v="1"/>
    <n v="46"/>
    <x v="0"/>
    <x v="0"/>
  </r>
  <r>
    <n v="28564"/>
    <x v="1"/>
    <x v="0"/>
    <n v="40000"/>
    <n v="2"/>
    <x v="1"/>
    <s v="Clerical"/>
    <s v="Yes"/>
    <n v="0"/>
    <x v="3"/>
    <x v="0"/>
    <n v="33"/>
    <x v="2"/>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2"/>
    <x v="0"/>
  </r>
  <r>
    <n v="27835"/>
    <x v="0"/>
    <x v="1"/>
    <n v="20000"/>
    <n v="0"/>
    <x v="3"/>
    <s v="Manual"/>
    <s v="Yes"/>
    <n v="2"/>
    <x v="0"/>
    <x v="0"/>
    <n v="32"/>
    <x v="2"/>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2"/>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2"/>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2"/>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2"/>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2"/>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2"/>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2"/>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2"/>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2"/>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2"/>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2"/>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2"/>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2"/>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2"/>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2"/>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2"/>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2"/>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2"/>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2"/>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1"/>
    <x v="0"/>
  </r>
  <r>
    <n v="11801"/>
    <x v="0"/>
    <x v="1"/>
    <n v="60000"/>
    <n v="1"/>
    <x v="4"/>
    <s v="Professional"/>
    <s v="Yes"/>
    <n v="0"/>
    <x v="1"/>
    <x v="2"/>
    <n v="36"/>
    <x v="0"/>
    <x v="0"/>
  </r>
  <r>
    <n v="22211"/>
    <x v="0"/>
    <x v="1"/>
    <n v="60000"/>
    <n v="0"/>
    <x v="1"/>
    <s v="Professional"/>
    <s v="Yes"/>
    <n v="2"/>
    <x v="2"/>
    <x v="2"/>
    <n v="32"/>
    <x v="2"/>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1"/>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2"/>
    <x v="1"/>
  </r>
  <r>
    <n v="25908"/>
    <x v="0"/>
    <x v="0"/>
    <n v="60000"/>
    <n v="0"/>
    <x v="1"/>
    <s v="Skilled Manual"/>
    <s v="No"/>
    <n v="1"/>
    <x v="3"/>
    <x v="2"/>
    <n v="27"/>
    <x v="2"/>
    <x v="0"/>
  </r>
  <r>
    <n v="16753"/>
    <x v="1"/>
    <x v="0"/>
    <n v="70000"/>
    <n v="0"/>
    <x v="1"/>
    <s v="Skilled Manual"/>
    <s v="Yes"/>
    <n v="2"/>
    <x v="2"/>
    <x v="2"/>
    <n v="34"/>
    <x v="2"/>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2"/>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2"/>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2"/>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1"/>
    <x v="0"/>
  </r>
  <r>
    <n v="21417"/>
    <x v="1"/>
    <x v="0"/>
    <n v="60000"/>
    <n v="0"/>
    <x v="1"/>
    <s v="Professional"/>
    <s v="No"/>
    <n v="2"/>
    <x v="3"/>
    <x v="2"/>
    <n v="32"/>
    <x v="2"/>
    <x v="1"/>
  </r>
  <r>
    <n v="17668"/>
    <x v="1"/>
    <x v="1"/>
    <n v="30000"/>
    <n v="2"/>
    <x v="2"/>
    <s v="Skilled Manual"/>
    <s v="Yes"/>
    <n v="2"/>
    <x v="3"/>
    <x v="2"/>
    <n v="50"/>
    <x v="1"/>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2"/>
    <x v="1"/>
  </r>
  <r>
    <n v="14271"/>
    <x v="0"/>
    <x v="1"/>
    <n v="30000"/>
    <n v="0"/>
    <x v="2"/>
    <s v="Skilled Manual"/>
    <s v="Yes"/>
    <n v="2"/>
    <x v="2"/>
    <x v="2"/>
    <n v="32"/>
    <x v="2"/>
    <x v="0"/>
  </r>
  <r>
    <n v="23041"/>
    <x v="1"/>
    <x v="0"/>
    <n v="70000"/>
    <n v="4"/>
    <x v="2"/>
    <s v="Professional"/>
    <s v="Yes"/>
    <n v="0"/>
    <x v="2"/>
    <x v="2"/>
    <n v="50"/>
    <x v="1"/>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2"/>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1"/>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2"/>
    <x v="1"/>
  </r>
  <r>
    <n v="21613"/>
    <x v="1"/>
    <x v="1"/>
    <n v="50000"/>
    <n v="2"/>
    <x v="0"/>
    <s v="Skilled Manual"/>
    <s v="No"/>
    <n v="1"/>
    <x v="0"/>
    <x v="2"/>
    <n v="39"/>
    <x v="0"/>
    <x v="1"/>
  </r>
  <r>
    <n v="24801"/>
    <x v="1"/>
    <x v="1"/>
    <n v="60000"/>
    <n v="1"/>
    <x v="4"/>
    <s v="Professional"/>
    <s v="Yes"/>
    <n v="0"/>
    <x v="1"/>
    <x v="2"/>
    <n v="35"/>
    <x v="2"/>
    <x v="1"/>
  </r>
  <r>
    <n v="17519"/>
    <x v="0"/>
    <x v="0"/>
    <n v="60000"/>
    <n v="0"/>
    <x v="1"/>
    <s v="Professional"/>
    <s v="Yes"/>
    <n v="2"/>
    <x v="2"/>
    <x v="2"/>
    <n v="32"/>
    <x v="2"/>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2"/>
    <x v="0"/>
  </r>
  <r>
    <n v="13714"/>
    <x v="0"/>
    <x v="0"/>
    <n v="20000"/>
    <n v="2"/>
    <x v="2"/>
    <s v="Manual"/>
    <s v="No"/>
    <n v="2"/>
    <x v="3"/>
    <x v="2"/>
    <n v="53"/>
    <x v="1"/>
    <x v="1"/>
  </r>
  <r>
    <n v="22330"/>
    <x v="0"/>
    <x v="1"/>
    <n v="50000"/>
    <n v="0"/>
    <x v="4"/>
    <s v="Skilled Manual"/>
    <s v="Yes"/>
    <n v="0"/>
    <x v="3"/>
    <x v="2"/>
    <n v="32"/>
    <x v="2"/>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2"/>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2"/>
    <x v="0"/>
  </r>
  <r>
    <n v="11622"/>
    <x v="0"/>
    <x v="1"/>
    <n v="50000"/>
    <n v="0"/>
    <x v="4"/>
    <s v="Skilled Manual"/>
    <s v="Yes"/>
    <n v="0"/>
    <x v="0"/>
    <x v="2"/>
    <n v="32"/>
    <x v="2"/>
    <x v="0"/>
  </r>
  <r>
    <n v="26597"/>
    <x v="1"/>
    <x v="0"/>
    <n v="60000"/>
    <n v="4"/>
    <x v="0"/>
    <s v="Skilled Manual"/>
    <s v="No"/>
    <n v="2"/>
    <x v="0"/>
    <x v="2"/>
    <n v="42"/>
    <x v="0"/>
    <x v="0"/>
  </r>
  <r>
    <n v="27074"/>
    <x v="0"/>
    <x v="0"/>
    <n v="70000"/>
    <n v="1"/>
    <x v="4"/>
    <s v="Skilled Manual"/>
    <s v="Yes"/>
    <n v="0"/>
    <x v="0"/>
    <x v="2"/>
    <n v="35"/>
    <x v="2"/>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2"/>
    <x v="0"/>
  </r>
  <r>
    <n v="13873"/>
    <x v="0"/>
    <x v="1"/>
    <n v="70000"/>
    <n v="3"/>
    <x v="4"/>
    <s v="Professional"/>
    <s v="Yes"/>
    <n v="0"/>
    <x v="0"/>
    <x v="2"/>
    <n v="35"/>
    <x v="2"/>
    <x v="1"/>
  </r>
  <r>
    <n v="20401"/>
    <x v="0"/>
    <x v="0"/>
    <n v="50000"/>
    <n v="4"/>
    <x v="0"/>
    <s v="Management"/>
    <s v="Yes"/>
    <n v="2"/>
    <x v="3"/>
    <x v="2"/>
    <n v="64"/>
    <x v="1"/>
    <x v="1"/>
  </r>
  <r>
    <n v="21583"/>
    <x v="0"/>
    <x v="0"/>
    <n v="50000"/>
    <n v="1"/>
    <x v="0"/>
    <s v="Skilled Manual"/>
    <s v="Yes"/>
    <n v="0"/>
    <x v="0"/>
    <x v="2"/>
    <n v="34"/>
    <x v="2"/>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2"/>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2"/>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2"/>
    <x v="1"/>
  </r>
  <r>
    <n v="22719"/>
    <x v="1"/>
    <x v="1"/>
    <n v="110000"/>
    <n v="3"/>
    <x v="0"/>
    <s v="Management"/>
    <s v="Yes"/>
    <n v="4"/>
    <x v="1"/>
    <x v="2"/>
    <n v="40"/>
    <x v="0"/>
    <x v="1"/>
  </r>
  <r>
    <n v="22042"/>
    <x v="0"/>
    <x v="0"/>
    <n v="70000"/>
    <n v="0"/>
    <x v="1"/>
    <s v="Skilled Manual"/>
    <s v="Yes"/>
    <n v="2"/>
    <x v="2"/>
    <x v="2"/>
    <n v="34"/>
    <x v="2"/>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2"/>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1"/>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2"/>
    <x v="0"/>
  </r>
  <r>
    <n v="21587"/>
    <x v="0"/>
    <x v="0"/>
    <n v="60000"/>
    <n v="1"/>
    <x v="4"/>
    <s v="Skilled Manual"/>
    <s v="Yes"/>
    <n v="0"/>
    <x v="1"/>
    <x v="2"/>
    <n v="34"/>
    <x v="2"/>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2"/>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2"/>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2"/>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2"/>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2"/>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70237-3B18-4E64-B56D-8AC30590CA49}"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3:D4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EECF7-5D7C-4354-980E-219A46039C46}"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57E18B-AAB1-4084-A428-FDE5EB856033}"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0">
    <format dxfId="150">
      <pivotArea type="all" dataOnly="0" outline="0" fieldPosition="0"/>
    </format>
    <format dxfId="138">
      <pivotArea outline="0" collapsedLevelsAreSubtotals="1" fieldPosition="0"/>
    </format>
    <format dxfId="137">
      <pivotArea type="origin" dataOnly="0" labelOnly="1" outline="0" fieldPosition="0"/>
    </format>
    <format dxfId="136">
      <pivotArea field="13" type="button" dataOnly="0" labelOnly="1" outline="0" axis="axisCol" fieldPosition="0"/>
    </format>
    <format dxfId="135">
      <pivotArea type="topRight" dataOnly="0" labelOnly="1" outline="0" fieldPosition="0"/>
    </format>
    <format dxfId="134">
      <pivotArea field="2" type="button" dataOnly="0" labelOnly="1" outline="0" axis="axisRow" fieldPosition="0"/>
    </format>
    <format dxfId="133">
      <pivotArea dataOnly="0" labelOnly="1" fieldPosition="0">
        <references count="1">
          <reference field="2" count="0"/>
        </references>
      </pivotArea>
    </format>
    <format dxfId="132">
      <pivotArea dataOnly="0" labelOnly="1" grandRow="1" outline="0" fieldPosition="0"/>
    </format>
    <format dxfId="131">
      <pivotArea dataOnly="0" labelOnly="1" fieldPosition="0">
        <references count="1">
          <reference field="13" count="0"/>
        </references>
      </pivotArea>
    </format>
    <format dxfId="130">
      <pivotArea dataOnly="0" labelOnly="1" grandCol="1" outline="0" fieldPosition="0"/>
    </format>
  </format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13934CB-DE4A-489D-A328-26FB34882E0D}" sourceName="Marital Status">
  <pivotTables>
    <pivotTable tabId="3" name="PivotTable1"/>
    <pivotTable tabId="3" name="PivotTable2"/>
    <pivotTable tabId="3" name="PivotTable3"/>
  </pivotTables>
  <data>
    <tabular pivotCacheId="13383779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60516C7-F2B1-4797-8FAE-A260F987ABBD}" sourceName="Education">
  <pivotTables>
    <pivotTable tabId="3" name="PivotTable1"/>
    <pivotTable tabId="3" name="PivotTable2"/>
    <pivotTable tabId="3" name="PivotTable3"/>
  </pivotTables>
  <data>
    <tabular pivotCacheId="13383779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02BA12-BEA7-4DA0-88E1-6088688D3783}" sourceName="Region">
  <pivotTables>
    <pivotTable tabId="3" name="PivotTable1"/>
    <pivotTable tabId="3" name="PivotTable2"/>
    <pivotTable tabId="3" name="PivotTable3"/>
  </pivotTables>
  <data>
    <tabular pivotCacheId="13383779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F682237-708C-49CB-983F-8CFF22FE6248}" cache="Slicer_Marital_Status" caption="Marital Status" rowHeight="234950"/>
  <slicer name="Education" xr10:uid="{3BFE0C45-A39B-4643-A3CC-AA3B4857D91F}" cache="Slicer_Education" caption="Education" rowHeight="234950"/>
  <slicer name="Region" xr10:uid="{920272AE-449C-403E-8CA3-05E57EFFB70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10" sqref="A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FD6C-D4D6-4A30-A258-088542C9A070}">
  <dimension ref="A1:N1001"/>
  <sheetViews>
    <sheetView topLeftCell="C1" zoomScale="90" zoomScaleNormal="100" workbookViewId="0">
      <selection activeCell="D1" sqref="D1:D1048576"/>
    </sheetView>
  </sheetViews>
  <sheetFormatPr defaultColWidth="11.88671875" defaultRowHeight="14.4" x14ac:dyDescent="0.3"/>
  <cols>
    <col min="1" max="1" width="15.109375" customWidth="1"/>
    <col min="2" max="2" width="14.6640625" customWidth="1"/>
    <col min="3" max="3" width="14.88671875" customWidth="1"/>
    <col min="4" max="4" width="14" style="3" customWidth="1"/>
    <col min="5" max="5" width="14.77734375" customWidth="1"/>
    <col min="6" max="6" width="23" customWidth="1"/>
    <col min="7" max="7" width="20.6640625" customWidth="1"/>
    <col min="8" max="8" width="15.44140625" customWidth="1"/>
    <col min="9" max="9" width="14.109375" customWidth="1"/>
    <col min="10" max="10" width="20" customWidth="1"/>
    <col min="11" max="11" width="14.77734375" customWidth="1"/>
    <col min="12" max="13" width="16.21875" customWidth="1"/>
    <col min="14" max="14" width="17.88671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IF(L2&gt;=50,"Seniors",IF(L2&gt;=36,"Mid Career",IF(L2&lt;=35,"Young Professionals", "Invalid")))</f>
        <v>Mid Career</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IF(L3&gt;=50,"Seniors",IF(L3&gt;=36,"Mid Career",IF(L3&lt;=35,"Young Professionals", "Invalid")))</f>
        <v>Mid Career</v>
      </c>
      <c r="N3" t="s">
        <v>18</v>
      </c>
    </row>
    <row r="4" spans="1:14" x14ac:dyDescent="0.3">
      <c r="A4">
        <v>14177</v>
      </c>
      <c r="B4" t="s">
        <v>36</v>
      </c>
      <c r="C4" t="s">
        <v>39</v>
      </c>
      <c r="D4" s="3">
        <v>80000</v>
      </c>
      <c r="E4">
        <v>5</v>
      </c>
      <c r="F4" t="s">
        <v>19</v>
      </c>
      <c r="G4" t="s">
        <v>21</v>
      </c>
      <c r="H4" t="s">
        <v>18</v>
      </c>
      <c r="I4">
        <v>2</v>
      </c>
      <c r="J4" t="s">
        <v>22</v>
      </c>
      <c r="K4" t="s">
        <v>17</v>
      </c>
      <c r="L4">
        <v>60</v>
      </c>
      <c r="M4" t="str">
        <f t="shared" si="0"/>
        <v>Seniors</v>
      </c>
      <c r="N4" t="s">
        <v>18</v>
      </c>
    </row>
    <row r="5" spans="1:14" x14ac:dyDescent="0.3">
      <c r="A5">
        <v>24381</v>
      </c>
      <c r="B5" t="s">
        <v>37</v>
      </c>
      <c r="C5" t="s">
        <v>39</v>
      </c>
      <c r="D5" s="3">
        <v>70000</v>
      </c>
      <c r="E5">
        <v>0</v>
      </c>
      <c r="F5" t="s">
        <v>13</v>
      </c>
      <c r="G5" t="s">
        <v>21</v>
      </c>
      <c r="H5" t="s">
        <v>15</v>
      </c>
      <c r="I5">
        <v>1</v>
      </c>
      <c r="J5" t="s">
        <v>23</v>
      </c>
      <c r="K5" t="s">
        <v>24</v>
      </c>
      <c r="L5">
        <v>41</v>
      </c>
      <c r="M5" t="str">
        <f t="shared" si="0"/>
        <v>Mid Career</v>
      </c>
      <c r="N5" t="s">
        <v>15</v>
      </c>
    </row>
    <row r="6" spans="1:14" x14ac:dyDescent="0.3">
      <c r="A6">
        <v>25597</v>
      </c>
      <c r="B6" t="s">
        <v>37</v>
      </c>
      <c r="C6" t="s">
        <v>39</v>
      </c>
      <c r="D6" s="3">
        <v>30000</v>
      </c>
      <c r="E6">
        <v>0</v>
      </c>
      <c r="F6" t="s">
        <v>13</v>
      </c>
      <c r="G6" t="s">
        <v>20</v>
      </c>
      <c r="H6" t="s">
        <v>18</v>
      </c>
      <c r="I6">
        <v>0</v>
      </c>
      <c r="J6" t="s">
        <v>16</v>
      </c>
      <c r="K6" t="s">
        <v>17</v>
      </c>
      <c r="L6">
        <v>36</v>
      </c>
      <c r="M6" t="str">
        <f t="shared" si="0"/>
        <v>Mid Career</v>
      </c>
      <c r="N6" t="s">
        <v>15</v>
      </c>
    </row>
    <row r="7" spans="1:14" x14ac:dyDescent="0.3">
      <c r="A7">
        <v>13507</v>
      </c>
      <c r="B7" t="s">
        <v>36</v>
      </c>
      <c r="C7" t="s">
        <v>38</v>
      </c>
      <c r="D7" s="3">
        <v>10000</v>
      </c>
      <c r="E7">
        <v>2</v>
      </c>
      <c r="F7" t="s">
        <v>19</v>
      </c>
      <c r="G7" t="s">
        <v>25</v>
      </c>
      <c r="H7" t="s">
        <v>15</v>
      </c>
      <c r="I7">
        <v>0</v>
      </c>
      <c r="J7" t="s">
        <v>26</v>
      </c>
      <c r="K7" t="s">
        <v>17</v>
      </c>
      <c r="L7">
        <v>50</v>
      </c>
      <c r="M7" t="str">
        <f t="shared" si="0"/>
        <v>Seniors</v>
      </c>
      <c r="N7" t="s">
        <v>18</v>
      </c>
    </row>
    <row r="8" spans="1:14" x14ac:dyDescent="0.3">
      <c r="A8">
        <v>27974</v>
      </c>
      <c r="B8" t="s">
        <v>37</v>
      </c>
      <c r="C8" t="s">
        <v>39</v>
      </c>
      <c r="D8" s="3">
        <v>160000</v>
      </c>
      <c r="E8">
        <v>2</v>
      </c>
      <c r="F8" t="s">
        <v>27</v>
      </c>
      <c r="G8" t="s">
        <v>28</v>
      </c>
      <c r="H8" t="s">
        <v>15</v>
      </c>
      <c r="I8">
        <v>4</v>
      </c>
      <c r="J8" t="s">
        <v>16</v>
      </c>
      <c r="K8" t="s">
        <v>24</v>
      </c>
      <c r="L8">
        <v>33</v>
      </c>
      <c r="M8" t="str">
        <f t="shared" si="0"/>
        <v>Young Professionals</v>
      </c>
      <c r="N8" t="s">
        <v>15</v>
      </c>
    </row>
    <row r="9" spans="1:14" x14ac:dyDescent="0.3">
      <c r="A9">
        <v>19364</v>
      </c>
      <c r="B9" t="s">
        <v>36</v>
      </c>
      <c r="C9" t="s">
        <v>39</v>
      </c>
      <c r="D9" s="3">
        <v>40000</v>
      </c>
      <c r="E9">
        <v>1</v>
      </c>
      <c r="F9" t="s">
        <v>13</v>
      </c>
      <c r="G9" t="s">
        <v>14</v>
      </c>
      <c r="H9" t="s">
        <v>15</v>
      </c>
      <c r="I9">
        <v>0</v>
      </c>
      <c r="J9" t="s">
        <v>16</v>
      </c>
      <c r="K9" t="s">
        <v>17</v>
      </c>
      <c r="L9">
        <v>43</v>
      </c>
      <c r="M9" t="str">
        <f t="shared" si="0"/>
        <v>Mid Career</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Seniors</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 Career</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Seniors</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 Career</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Seniors</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Young Professionals</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 Career</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 Career</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Seniors</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 Career</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Young Professionals</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Seniors</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 Career</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Young Professionals</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Young Professionals</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Seniors</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Young Professionals</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Seniors</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Young Professionals</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 Career</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 Career</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Young Professionals</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Seniors</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Young Professionals</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Young Professionals</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Seniors</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Seniors</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 Career</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Seniors</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Young Professionals</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Young Professionals</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 Career</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 Career</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Seniors</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 Career</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 Career</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 Career</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Seniors</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 Career</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Seniors</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 Career</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 Career</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Young Professionals</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Young Professionals</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Seniors</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Seniors</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 Career</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Seniors</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 Career</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Seniors</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 Career</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 Career</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 Career</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Young Professionals</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Seniors</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 Career</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 Career</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IF(L67&gt;=50,"Seniors",IF(L67&gt;=36,"Mid Career",IF(L67&lt;=35,"Young Professionals", "Invalid")))</f>
        <v>Seniors</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 Career</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Young Professionals</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 Career</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Young Professionals</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 Career</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Young Professionals</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Seniors</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 Career</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Seniors</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Young Professionals</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Young Professionals</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Young Professionals</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Seniors</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Seniors</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 Career</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 Career</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 Career</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Young Professionals</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Seniors</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Young Professionals</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Seniors</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 Career</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Young Professionals</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 Career</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Young Professionals</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Young Professionals</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 Career</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Young Professionals</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Seniors</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Seniors</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 Career</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 Career</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Young Professionals</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 Career</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Young Professionals</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 Career</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 Career</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 Career</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 Career</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Young Professionals</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Seniors</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Seniors</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 Career</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 Career</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 Career</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 Career</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Young Professionals</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 Career</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Young Professionals</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Young Professionals</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 Career</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 Career</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Seniors</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Young Professionals</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Seniors</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 Career</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Young Professionals</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Seniors</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 Career</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 Career</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Young Professionals</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 Career</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Seniors</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IF(L131&gt;=50,"Seniors",IF(L131&gt;=36,"Mid Career",IF(L131&lt;=35,"Young Professionals", "Invalid")))</f>
        <v>Mid Career</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 Career</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Seniors</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 Career</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Seniors</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 Career</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Seniors</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Young Professionals</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 Career</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Seniors</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Seniors</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 Career</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Young Professionals</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 Career</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Young Professionals</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 Career</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Young Professionals</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 Career</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 Career</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Seniors</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Young Professionals</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 Career</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 Career</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Young Professionals</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 Career</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 Career</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 Career</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Seniors</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Seniors</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Seniors</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 Career</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 Career</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 Career</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 Career</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Seniors</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Young Professionals</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Young Professionals</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 Career</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Young Professionals</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 Career</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 Career</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Seniors</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Seniors</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Young Professionals</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Young Professionals</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 Career</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Seniors</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Young Professionals</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 Career</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Seniors</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 Career</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 Career</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Seniors</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 Career</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Seniors</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Seniors</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 Career</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Seniors</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Seniors</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Young Professionals</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 Career</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Seniors</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 Career</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Seniors</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IF(L195&gt;=50,"Seniors",IF(L195&gt;=36,"Mid Career",IF(L195&lt;=35,"Young Professionals", "Invalid")))</f>
        <v>Mid Career</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Young Professionals</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Young Professionals</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 Career</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Seniors</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 Career</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Young Professionals</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Young Professionals</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Young Professionals</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Young Professionals</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 Career</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Seniors</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 Career</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Seniors</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Young Professionals</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 Career</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 Career</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 Career</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 Career</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Young Professionals</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Young Professionals</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Seniors</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Seniors</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Seniors</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Young Professionals</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 Career</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Young Professionals</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 Career</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Young Professionals</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 Career</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 Career</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Seniors</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Young Professionals</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 Career</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 Career</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 Career</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Seniors</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Seniors</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 Career</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 Career</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Young Professionals</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Young Professionals</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Seniors</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 Career</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Young Professionals</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 Career</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Young Professionals</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 Career</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Young Professionals</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 Career</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Young Professionals</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Seniors</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 Career</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Seniors</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Young Professionals</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Seniors</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 Career</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Seniors</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Seniors</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Young Professionals</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Seniors</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Seniors</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 Career</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 Career</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IF(L259&gt;=50,"Seniors",IF(L259&gt;=36,"Mid Career",IF(L259&lt;=35,"Young Professionals", "Invalid")))</f>
        <v>Mid Career</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Seniors</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 Career</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 Career</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Young Professionals</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Seniors</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 Career</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 Career</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 Career</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Young Professionals</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 Career</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 Career</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 Career</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Seniors</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Young Professionals</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 Career</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Young Professionals</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 Career</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 Career</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 Career</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 Career</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Young Professionals</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 Career</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 Career</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 Career</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Young Professionals</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 Career</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 Career</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 Career</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 Career</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 Career</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 Career</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Seniors</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 Career</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 Career</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 Career</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 Career</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 Career</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Young Professionals</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 Career</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 Career</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Seniors</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Seniors</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Seniors</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Young Professionals</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Seniors</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 Career</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 Career</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Seniors</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 Career</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Seniors</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Young Professionals</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 Career</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 Career</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 Career</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Seniors</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Seniors</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 Career</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 Career</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Seniors</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Young Professionals</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Seniors</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 Career</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 Career</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IF(L323&gt;=50,"Seniors",IF(L323&gt;=36,"Mid Career",IF(L323&lt;=35,"Young Professionals", "Invalid")))</f>
        <v>Mid Career</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 Career</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 Career</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 Career</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 Career</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Young Professionals</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 Career</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 Career</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Seniors</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Young Professionals</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Young Professionals</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Young Professionals</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Seniors</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 Career</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 Career</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Young Professionals</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Young Professionals</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Seniors</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Seniors</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Young Professionals</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Young Professionals</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Young Professionals</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Young Professionals</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Young Professionals</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Seniors</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 Career</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 Career</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 Career</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Young Professionals</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Young Professionals</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 Career</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Seniors</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 Career</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 Career</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Young Professionals</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Seniors</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Young Professionals</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Seniors</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Young Professionals</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 Career</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Young Professionals</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Young Professionals</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Seniors</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 Career</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 Career</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 Career</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Seniors</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Seniors</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Seniors</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 Career</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Seniors</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 Career</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Young Professionals</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 Career</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Seniors</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Seniors</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Seniors</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Seniors</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 Career</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Young Professionals</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Seniors</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Seniors</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 Career</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Young Professionals</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IF(L387&gt;=50,"Seniors",IF(L387&gt;=36,"Mid Career",IF(L387&lt;=35,"Young Professionals", "Invalid")))</f>
        <v>Mid Career</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Young Professionals</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Young Professionals</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Seniors</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 Career</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 Career</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 Career</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Seniors</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Young Professionals</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 Career</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 Career</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 Career</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Seniors</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 Career</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Seniors</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Seniors</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Seniors</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 Career</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 Career</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Seniors</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 Career</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 Career</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 Career</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Young Professionals</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Seniors</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 Career</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 Career</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Young Professionals</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Seniors</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Young Professionals</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 Career</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 Career</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Seniors</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 Career</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Seniors</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Seniors</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Seniors</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Young Professionals</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Young Professionals</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 Career</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Seniors</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Young Professionals</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 Career</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 Career</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Young Professionals</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Seniors</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Young Professionals</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Young Professionals</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Young Professionals</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Seniors</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Seniors</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Seniors</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Young Professionals</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 Career</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 Career</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Young Professionals</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Seniors</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 Career</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 Career</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Young Professionals</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Young Professionals</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 Career</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Young Professionals</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 Career</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IF(L451&gt;=50,"Seniors",IF(L451&gt;=36,"Mid Career",IF(L451&lt;=35,"Young Professionals", "Invalid")))</f>
        <v>Mid Career</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 Career</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 Career</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Seniors</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 Career</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Young Professionals</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Seniors</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Seniors</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Seniors</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Young Professionals</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Young Professionals</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Young Professionals</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 Career</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 Career</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 Career</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 Career</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Seniors</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 Career</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 Career</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 Career</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Seniors</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Young Professionals</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 Career</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 Career</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 Career</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 Career</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Seniors</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 Career</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Seniors</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Young Professionals</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Young Professionals</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 Career</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Young Professionals</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 Career</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Seniors</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Young Professionals</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 Career</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Seniors</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 Career</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Young Professionals</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Young Professionals</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 Career</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 Career</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Young Professionals</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Seniors</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Seniors</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Seniors</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 Career</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Young Professionals</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 Career</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Young Professionals</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 Career</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Young Professionals</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Young Professionals</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 Career</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 Career</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 Career</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 Career</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Seniors</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Young Professionals</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 Career</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 Career</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Seniors</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 Career</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IF(L515&gt;=50,"Seniors",IF(L515&gt;=36,"Mid Career",IF(L515&lt;=35,"Young Professionals", "Invalid")))</f>
        <v>Seniors</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 Career</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 Career</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 Career</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 Career</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Young Professionals</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Seniors</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 Career</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Seniors</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 Career</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 Career</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Seniors</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Seniors</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 Career</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 Career</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Young Professionals</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Seniors</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Young Professionals</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Young Professionals</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 Career</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Seniors</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Seniors</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 Career</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 Career</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 Career</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 Career</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 Career</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Seniors</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Young Professionals</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Young Professionals</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Seniors</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 Career</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Young Professionals</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 Career</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Seniors</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 Career</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 Career</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 Career</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Seniors</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Seniors</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Seniors</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 Career</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 Career</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 Career</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Young Professionals</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 Career</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Seniors</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 Career</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 Career</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Young Professionals</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Young Professionals</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Young Professionals</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Seniors</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Seniors</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 Career</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 Career</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Seniors</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Seniors</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Seniors</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Young Professionals</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Seniors</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Young Professionals</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Seniors</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Young Professionals</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IF(L579&gt;=50,"Seniors",IF(L579&gt;=36,"Mid Career",IF(L579&lt;=35,"Young Professionals", "Invalid")))</f>
        <v>Mid Career</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Seniors</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Young Professionals</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Seniors</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Young Professionals</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 Career</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Seniors</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 Career</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 Career</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Seniors</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 Career</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Seniors</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Seniors</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Young Professionals</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Seniors</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 Career</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 Career</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Seniors</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Seniors</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 Career</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Seniors</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 Career</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Seniors</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 Career</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 Career</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Seniors</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Young Professionals</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Young Professionals</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Seniors</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 Career</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 Career</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Seniors</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 Career</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 Career</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Young Professionals</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Young Professionals</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 Career</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 Career</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 Career</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 Career</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 Career</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 Career</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Young Professionals</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 Career</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Seniors</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 Career</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Seniors</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Young Professionals</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Seniors</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Young Professionals</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Seniors</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Seniors</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Young Professionals</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Young Professionals</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 Career</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 Career</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 Career</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Seniors</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 Career</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 Career</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Young Professionals</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Seniors</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Seniors</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Seniors</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IF(L643&gt;=50,"Seniors",IF(L643&gt;=36,"Mid Career",IF(L643&lt;=35,"Young Professionals", "Invalid")))</f>
        <v>Seniors</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Seniors</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Young Professionals</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 Career</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 Career</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 Career</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Young Professionals</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Seniors</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 Career</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Seniors</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Young Professionals</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 Career</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Young Professionals</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Young Professionals</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Young Professionals</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Seniors</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 Career</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 Career</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Seniors</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 Career</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Young Professionals</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 Career</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 Career</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 Career</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 Career</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 Career</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Seniors</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 Career</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Seniors</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Seniors</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 Career</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Young Professionals</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Young Professionals</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 Career</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 Career</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 Career</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 Career</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Seniors</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Seniors</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Young Professionals</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 Career</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Seniors</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 Career</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 Career</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Seniors</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Seniors</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Young Professionals</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Young Professionals</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Young Professionals</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 Career</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Young Professionals</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 Career</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 Career</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 Career</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 Career</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Young Professionals</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Young Professionals</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 Career</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 Career</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Seniors</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Young Professionals</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 Career</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Young Professionals</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 Career</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IF(L707&gt;=50,"Seniors",IF(L707&gt;=36,"Mid Career",IF(L707&lt;=35,"Young Professionals", "Invalid")))</f>
        <v>Seniors</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Young Professionals</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 Career</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Seniors</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Seniors</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Young Professionals</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Seniors</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Seniors</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 Career</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Young Professionals</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 Career</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 Career</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 Career</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 Career</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 Career</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Seniors</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 Career</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Seniors</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 Career</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 Career</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 Career</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Seniors</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 Career</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Young Professionals</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 Career</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 Career</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 Career</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 Career</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 Career</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 Career</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Young Professionals</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Young Professionals</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 Career</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 Career</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Seniors</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Young Professionals</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 Career</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Young Professionals</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 Career</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Seniors</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 Career</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Seniors</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 Career</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Seniors</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Seniors</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Seniors</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 Career</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Young Professionals</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Young Professionals</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Seniors</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Seniors</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 Career</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Seniors</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 Career</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 Career</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Seniors</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Seniors</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 Career</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Young Professionals</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Young Professionals</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Young Professionals</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 Career</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Seniors</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 Career</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IF(L771&gt;=50,"Seniors",IF(L771&gt;=36,"Mid Career",IF(L771&lt;=35,"Young Professionals", "Invalid")))</f>
        <v>Mid Career</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Seniors</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 Career</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 Career</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Young Professionals</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 Career</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Seniors</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Seniors</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Young Professionals</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 Career</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Seniors</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Seniors</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 Career</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 Career</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 Career</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Seniors</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Young Professionals</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Young Professionals</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Seniors</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 Career</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 Career</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Seniors</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Young Professionals</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Seniors</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Seniors</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Seniors</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Seniors</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Seniors</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Young Professionals</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Young Professionals</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Young Professionals</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 Career</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Seniors</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Young Professionals</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Young Professionals</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Young Professionals</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Young Professionals</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Seniors</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Young Professionals</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Seniors</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Seniors</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Seniors</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Young Professionals</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Seniors</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Seniors</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Seniors</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Young Professionals</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 Career</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 Career</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Young Professionals</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Young Professionals</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 Career</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Young Professionals</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Young Professionals</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Seniors</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 Career</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Seniors</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 Career</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 Career</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Young Professionals</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Seniors</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Seniors</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 Career</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 Career</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IF(L835&gt;=50,"Seniors",IF(L835&gt;=36,"Mid Career",IF(L835&lt;=35,"Young Professionals", "Invalid")))</f>
        <v>Mid Career</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Seniors</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 Career</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Young Professionals</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Young Professionals</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 Career</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 Career</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Seniors</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Seniors</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 Career</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Seniors</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Seniors</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Seniors</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Seniors</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Young Professionals</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 Career</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Seniors</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Seniors</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Young Professionals</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 Career</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Young Professionals</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Young Professionals</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Young Professionals</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Young Professionals</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 Career</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 Career</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 Career</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Young Professionals</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Seniors</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Young Professionals</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 Career</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Young Professionals</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 Career</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Seniors</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 Career</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Seniors</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 Career</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 Career</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Seniors</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Seniors</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 Career</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Seniors</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 Career</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Young Professionals</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Seniors</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Seniors</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 Career</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 Career</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Seniors</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Young Professionals</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 Career</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Seniors</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 Career</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Young Professionals</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Young Professionals</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 Career</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Young Professionals</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 Career</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Seniors</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 Career</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Young Professionals</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Young Professionals</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Seniors</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Young Professionals</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IF(L899&gt;=50,"Seniors",IF(L899&gt;=36,"Mid Career",IF(L899&lt;=35,"Young Professionals", "Invalid")))</f>
        <v>Young Professionals</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Seniors</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 Career</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 Career</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 Career</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 Career</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Seniors</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 Career</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 Career</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Young Professionals</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Seniors</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 Career</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 Career</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 Career</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Seniors</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Young Professionals</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 Career</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 Career</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Seniors</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Young Professionals</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 Career</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Young Professionals</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Seniors</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Seniors</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 Career</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Seniors</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Seniors</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 Career</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Young Professionals</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Seniors</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 Career</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 Career</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Seniors</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 Career</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 Career</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Young Professionals</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Young Professionals</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Seniors</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 Career</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Seniors</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 Career</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Young Professionals</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Seniors</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Young Professionals</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Young Professionals</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Seniors</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 Career</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Young Professionals</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 Career</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Seniors</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 Career</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 Career</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Seniors</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Young Professionals</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 Career</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Seniors</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Young Professionals</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 Career</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 Career</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Young Professionals</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Young Professionals</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 Career</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 Career</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 Career</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IF(L963&gt;=50,"Seniors",IF(L963&gt;=36,"Mid Career",IF(L963&lt;=35,"Young Professionals", "Invalid")))</f>
        <v>Seniors</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Seniors</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Seniors</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Seniors</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 Career</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Young Professionals</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Seniors</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Young Professionals</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 Career</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Young Professionals</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Seniors</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Seniors</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 Career</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Seniors</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Young Professionals</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Seniors</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Seniors</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 Career</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Young Professionals</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 Career</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 Career</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 Career</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 Career</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 Career</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 Career</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Seniors</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Seniors</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Seniors</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 Career</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Young Professionals</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 Career</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 Career</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 Career</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 Career</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Seniors</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Young Professionals</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 Career</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 Career</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Seniors</v>
      </c>
      <c r="N1001" t="s">
        <v>15</v>
      </c>
    </row>
  </sheetData>
  <autoFilter ref="A1:N1001" xr:uid="{999CFD6C-D4D6-4A30-A258-088542C9A0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BAF-7548-4A79-B289-6CCBAD2FBC22}">
  <dimension ref="A3:D48"/>
  <sheetViews>
    <sheetView zoomScale="94" workbookViewId="0">
      <selection activeCell="C11" sqref="C11"/>
    </sheetView>
  </sheetViews>
  <sheetFormatPr defaultRowHeight="14.4" x14ac:dyDescent="0.3"/>
  <cols>
    <col min="1" max="1" width="21.88671875" bestFit="1" customWidth="1"/>
    <col min="2" max="2" width="15.5546875" bestFit="1" customWidth="1"/>
    <col min="3" max="3" width="4.21875" bestFit="1" customWidth="1"/>
    <col min="4" max="4" width="10.77734375" bestFit="1" customWidth="1"/>
  </cols>
  <sheetData>
    <row r="3" spans="1:4" x14ac:dyDescent="0.3">
      <c r="A3" s="9" t="s">
        <v>43</v>
      </c>
      <c r="B3" s="9" t="s">
        <v>44</v>
      </c>
      <c r="C3" s="10"/>
      <c r="D3" s="10"/>
    </row>
    <row r="4" spans="1:4" x14ac:dyDescent="0.3">
      <c r="A4" s="9" t="s">
        <v>41</v>
      </c>
      <c r="B4" s="10" t="s">
        <v>18</v>
      </c>
      <c r="C4" s="10" t="s">
        <v>15</v>
      </c>
      <c r="D4" s="10" t="s">
        <v>42</v>
      </c>
    </row>
    <row r="5" spans="1:4" x14ac:dyDescent="0.3">
      <c r="A5" s="11" t="s">
        <v>38</v>
      </c>
      <c r="B5" s="10">
        <v>53440</v>
      </c>
      <c r="C5" s="10">
        <v>55774.058577405856</v>
      </c>
      <c r="D5" s="10">
        <v>54580.777096114522</v>
      </c>
    </row>
    <row r="6" spans="1:4" x14ac:dyDescent="0.3">
      <c r="A6" s="11" t="s">
        <v>39</v>
      </c>
      <c r="B6" s="10">
        <v>56208.178438661707</v>
      </c>
      <c r="C6" s="10">
        <v>60123.966942148763</v>
      </c>
      <c r="D6" s="10">
        <v>58062.62230919765</v>
      </c>
    </row>
    <row r="7" spans="1:4" x14ac:dyDescent="0.3">
      <c r="A7" s="11" t="s">
        <v>42</v>
      </c>
      <c r="B7" s="10">
        <v>54874.759152215796</v>
      </c>
      <c r="C7" s="10">
        <v>57962.577962577961</v>
      </c>
      <c r="D7" s="10">
        <v>56360</v>
      </c>
    </row>
    <row r="23" spans="1:4" x14ac:dyDescent="0.3">
      <c r="A23" s="4" t="s">
        <v>45</v>
      </c>
      <c r="B23" s="4" t="s">
        <v>44</v>
      </c>
    </row>
    <row r="24" spans="1:4" x14ac:dyDescent="0.3">
      <c r="A24" s="4" t="s">
        <v>41</v>
      </c>
      <c r="B24" t="s">
        <v>18</v>
      </c>
      <c r="C24" t="s">
        <v>15</v>
      </c>
      <c r="D24" t="s">
        <v>42</v>
      </c>
    </row>
    <row r="25" spans="1:4" x14ac:dyDescent="0.3">
      <c r="A25" s="5" t="s">
        <v>16</v>
      </c>
      <c r="B25" s="6">
        <v>166</v>
      </c>
      <c r="C25" s="6">
        <v>200</v>
      </c>
      <c r="D25" s="6">
        <v>366</v>
      </c>
    </row>
    <row r="26" spans="1:4" x14ac:dyDescent="0.3">
      <c r="A26" s="5" t="s">
        <v>26</v>
      </c>
      <c r="B26" s="6">
        <v>92</v>
      </c>
      <c r="C26" s="6">
        <v>77</v>
      </c>
      <c r="D26" s="6">
        <v>169</v>
      </c>
    </row>
    <row r="27" spans="1:4" x14ac:dyDescent="0.3">
      <c r="A27" s="5" t="s">
        <v>22</v>
      </c>
      <c r="B27" s="6">
        <v>67</v>
      </c>
      <c r="C27" s="6">
        <v>95</v>
      </c>
      <c r="D27" s="6">
        <v>162</v>
      </c>
    </row>
    <row r="28" spans="1:4" x14ac:dyDescent="0.3">
      <c r="A28" s="5" t="s">
        <v>23</v>
      </c>
      <c r="B28" s="6">
        <v>116</v>
      </c>
      <c r="C28" s="6">
        <v>76</v>
      </c>
      <c r="D28" s="6">
        <v>192</v>
      </c>
    </row>
    <row r="29" spans="1:4" x14ac:dyDescent="0.3">
      <c r="A29" s="5" t="s">
        <v>46</v>
      </c>
      <c r="B29" s="6">
        <v>78</v>
      </c>
      <c r="C29" s="6">
        <v>33</v>
      </c>
      <c r="D29" s="6">
        <v>111</v>
      </c>
    </row>
    <row r="30" spans="1:4" x14ac:dyDescent="0.3">
      <c r="A30" s="5" t="s">
        <v>42</v>
      </c>
      <c r="B30" s="6">
        <v>519</v>
      </c>
      <c r="C30" s="6">
        <v>481</v>
      </c>
      <c r="D30" s="6">
        <v>1000</v>
      </c>
    </row>
    <row r="43" spans="1:4" x14ac:dyDescent="0.3">
      <c r="A43" s="4" t="s">
        <v>45</v>
      </c>
      <c r="B43" s="4" t="s">
        <v>44</v>
      </c>
    </row>
    <row r="44" spans="1:4" x14ac:dyDescent="0.3">
      <c r="A44" s="4" t="s">
        <v>41</v>
      </c>
      <c r="B44" t="s">
        <v>18</v>
      </c>
      <c r="C44" t="s">
        <v>15</v>
      </c>
      <c r="D44" t="s">
        <v>42</v>
      </c>
    </row>
    <row r="45" spans="1:4" x14ac:dyDescent="0.3">
      <c r="A45" s="5" t="s">
        <v>47</v>
      </c>
      <c r="B45" s="6">
        <v>200</v>
      </c>
      <c r="C45" s="6">
        <v>244</v>
      </c>
      <c r="D45" s="6">
        <v>444</v>
      </c>
    </row>
    <row r="46" spans="1:4" x14ac:dyDescent="0.3">
      <c r="A46" s="5" t="s">
        <v>48</v>
      </c>
      <c r="B46" s="6">
        <v>178</v>
      </c>
      <c r="C46" s="6">
        <v>122</v>
      </c>
      <c r="D46" s="6">
        <v>300</v>
      </c>
    </row>
    <row r="47" spans="1:4" x14ac:dyDescent="0.3">
      <c r="A47" s="5" t="s">
        <v>49</v>
      </c>
      <c r="B47" s="6">
        <v>141</v>
      </c>
      <c r="C47" s="6">
        <v>115</v>
      </c>
      <c r="D47" s="6">
        <v>256</v>
      </c>
    </row>
    <row r="48" spans="1:4" x14ac:dyDescent="0.3">
      <c r="A48" s="5" t="s">
        <v>42</v>
      </c>
      <c r="B48" s="6">
        <v>519</v>
      </c>
      <c r="C48" s="6">
        <v>481</v>
      </c>
      <c r="D48"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9626-9AE2-4D25-AA34-EA39830725EB}">
  <dimension ref="A1:O4"/>
  <sheetViews>
    <sheetView showGridLines="0" tabSelected="1" zoomScale="82" workbookViewId="0">
      <selection activeCell="S1" sqref="S1"/>
    </sheetView>
  </sheetViews>
  <sheetFormatPr defaultRowHeight="14.4" x14ac:dyDescent="0.3"/>
  <sheetData>
    <row r="1" spans="1:15" ht="14.4" customHeight="1"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MPHO ECAN MOKUMO</dc:creator>
  <cp:lastModifiedBy>MPHO ECAN MOKUMO</cp:lastModifiedBy>
  <dcterms:created xsi:type="dcterms:W3CDTF">2022-03-18T02:50:57Z</dcterms:created>
  <dcterms:modified xsi:type="dcterms:W3CDTF">2026-02-11T08:32:19Z</dcterms:modified>
</cp:coreProperties>
</file>